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ogrammation\Course\"/>
    </mc:Choice>
  </mc:AlternateContent>
  <xr:revisionPtr revIDLastSave="0" documentId="13_ncr:1_{82FD058E-638F-495C-BAFB-5B983A74E418}" xr6:coauthVersionLast="36" xr6:coauthVersionMax="36" xr10:uidLastSave="{00000000-0000-0000-0000-000000000000}"/>
  <bookViews>
    <workbookView xWindow="0" yWindow="0" windowWidth="29544" windowHeight="13968" activeTab="2" xr2:uid="{B056E34B-B17C-4411-8462-7B4F4D4A3842}"/>
  </bookViews>
  <sheets>
    <sheet name="Dashboard" sheetId="1" r:id="rId1"/>
    <sheet name="Grocery list" sheetId="4" r:id="rId2"/>
    <sheet name="Stock" sheetId="2" r:id="rId3"/>
    <sheet name="Générateur de recettes" sheetId="5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2" i="2" l="1"/>
  <c r="I21" i="2"/>
  <c r="I20" i="2"/>
  <c r="I19" i="2"/>
  <c r="I18" i="2"/>
  <c r="I17" i="2"/>
  <c r="I16" i="2"/>
  <c r="I15" i="2"/>
  <c r="I14" i="2"/>
  <c r="I13" i="2" l="1"/>
  <c r="I5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3" i="2"/>
</calcChain>
</file>

<file path=xl/sharedStrings.xml><?xml version="1.0" encoding="utf-8"?>
<sst xmlns="http://schemas.openxmlformats.org/spreadsheetml/2006/main" count="70" uniqueCount="70">
  <si>
    <t>Viande</t>
  </si>
  <si>
    <t>Légume</t>
  </si>
  <si>
    <t>Féculent</t>
  </si>
  <si>
    <t>Poulet rôti</t>
  </si>
  <si>
    <t>Haricot vapeur</t>
  </si>
  <si>
    <t>Riz</t>
  </si>
  <si>
    <t>Poulet moutarde</t>
  </si>
  <si>
    <t>Poulet à la bière</t>
  </si>
  <si>
    <t>Saumon au graines de sesame</t>
  </si>
  <si>
    <t>Saumon sauce soja</t>
  </si>
  <si>
    <t>Steack</t>
  </si>
  <si>
    <t>Penne</t>
  </si>
  <si>
    <t>Pomme de terre sautées</t>
  </si>
  <si>
    <t>Department A</t>
  </si>
  <si>
    <t>Department B</t>
  </si>
  <si>
    <t>Department C</t>
  </si>
  <si>
    <t>Department D</t>
  </si>
  <si>
    <t>Department E</t>
  </si>
  <si>
    <t>Department F</t>
  </si>
  <si>
    <t>Item A1</t>
  </si>
  <si>
    <t>Item A2</t>
  </si>
  <si>
    <t>Item A3</t>
  </si>
  <si>
    <t>Item A4</t>
  </si>
  <si>
    <t>Item A5</t>
  </si>
  <si>
    <t>Item A6</t>
  </si>
  <si>
    <t>Item A7</t>
  </si>
  <si>
    <t>Item A8</t>
  </si>
  <si>
    <t>Item A9</t>
  </si>
  <si>
    <t>Item A10</t>
  </si>
  <si>
    <t>Item A11</t>
  </si>
  <si>
    <t>Item A12</t>
  </si>
  <si>
    <t>Item B1</t>
  </si>
  <si>
    <t>Item B2</t>
  </si>
  <si>
    <t>Item B3</t>
  </si>
  <si>
    <t>Item B4</t>
  </si>
  <si>
    <t>Item B5</t>
  </si>
  <si>
    <t>Item B6</t>
  </si>
  <si>
    <t>Item B7</t>
  </si>
  <si>
    <t>Item B8</t>
  </si>
  <si>
    <t>Item C1</t>
  </si>
  <si>
    <t>Item C2</t>
  </si>
  <si>
    <t>Item C3</t>
  </si>
  <si>
    <t>Item C4</t>
  </si>
  <si>
    <t>Item C5</t>
  </si>
  <si>
    <t>Item C6</t>
  </si>
  <si>
    <t>Item C7</t>
  </si>
  <si>
    <t>Item C8</t>
  </si>
  <si>
    <t>Item C9</t>
  </si>
  <si>
    <t>Item C10</t>
  </si>
  <si>
    <t>Item D1</t>
  </si>
  <si>
    <t>Item D2</t>
  </si>
  <si>
    <t>Iten D3</t>
  </si>
  <si>
    <t>Item E1</t>
  </si>
  <si>
    <t>Item E2</t>
  </si>
  <si>
    <t>Item E3</t>
  </si>
  <si>
    <t>Item E4</t>
  </si>
  <si>
    <t>Item F1</t>
  </si>
  <si>
    <t>Item F2</t>
  </si>
  <si>
    <t>Item F3</t>
  </si>
  <si>
    <t>Item F4</t>
  </si>
  <si>
    <t>Item F5</t>
  </si>
  <si>
    <t>Item name</t>
  </si>
  <si>
    <t>Price</t>
  </si>
  <si>
    <t>Weight</t>
  </si>
  <si>
    <t>Units in pack</t>
  </si>
  <si>
    <t>Stock</t>
  </si>
  <si>
    <t>Packs</t>
  </si>
  <si>
    <t>Estimated monthly consumption</t>
  </si>
  <si>
    <t>Overstock treshold</t>
  </si>
  <si>
    <t>Months to cover: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</si>
</sst>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30"/>
      <color theme="1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CDC8"/>
        <bgColor indexed="64"/>
      </patternFill>
    </fill>
    <fill>
      <patternFill patternType="solid">
        <fgColor theme="1" tint="0.149998474074526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 applyAlignment="1">
      <alignment horizontal="center" vertical="center" wrapText="1"/>
    </xf>
    <xf numFmtId="0" fontId="3" fillId="5" borderId="0" xfId="0" applyFont="1" applyFill="1"/>
    <xf numFmtId="0" fontId="4" fillId="6" borderId="6" xfId="0" applyFont="1" applyFill="1" applyBorder="1" applyAlignment="1">
      <alignment horizontal="left" vertical="center"/>
    </xf>
    <xf numFmtId="0" fontId="3" fillId="5" borderId="0" xfId="0" applyFont="1" applyFill="1" applyBorder="1"/>
    <xf numFmtId="0" fontId="3" fillId="0" borderId="0" xfId="0" applyFont="1" applyFill="1" applyAlignment="1">
      <alignment horizontal="center" vertic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0" fillId="2" borderId="0" xfId="0" applyFill="1" applyAlignment="1">
      <alignment horizontal="right" vertical="center"/>
    </xf>
    <xf numFmtId="0" fontId="5" fillId="4" borderId="10" xfId="0" applyFont="1" applyFill="1" applyBorder="1" applyAlignment="1">
      <alignment horizontal="right" vertical="center"/>
    </xf>
    <xf numFmtId="0" fontId="5" fillId="4" borderId="11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horizontal="right" vertical="center"/>
    </xf>
    <xf numFmtId="2" fontId="0" fillId="2" borderId="0" xfId="0" applyNumberFormat="1" applyFill="1" applyAlignment="1">
      <alignment horizontal="right" vertical="center"/>
    </xf>
    <xf numFmtId="2" fontId="1" fillId="3" borderId="10" xfId="0" applyNumberFormat="1" applyFont="1" applyFill="1" applyBorder="1" applyAlignment="1">
      <alignment horizontal="right" vertical="center"/>
    </xf>
    <xf numFmtId="2" fontId="1" fillId="3" borderId="11" xfId="0" applyNumberFormat="1" applyFont="1" applyFill="1" applyBorder="1" applyAlignment="1">
      <alignment horizontal="right" vertical="center"/>
    </xf>
    <xf numFmtId="2" fontId="1" fillId="3" borderId="12" xfId="0" applyNumberFormat="1" applyFont="1" applyFill="1" applyBorder="1" applyAlignment="1">
      <alignment horizontal="right" vertical="center"/>
    </xf>
    <xf numFmtId="0" fontId="6" fillId="6" borderId="5" xfId="0" applyFont="1" applyFill="1" applyBorder="1" applyAlignment="1">
      <alignment horizontal="left" vertical="center" wrapText="1"/>
    </xf>
    <xf numFmtId="9" fontId="3" fillId="0" borderId="0" xfId="0" applyNumberFormat="1" applyFont="1" applyFill="1" applyAlignment="1">
      <alignment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4" borderId="2" xfId="0" applyFill="1" applyBorder="1" applyAlignment="1">
      <alignment horizontal="center" vertical="center" wrapText="1"/>
    </xf>
    <xf numFmtId="0" fontId="2" fillId="4" borderId="5" xfId="0" applyFont="1" applyFill="1" applyBorder="1"/>
    <xf numFmtId="0" fontId="2" fillId="4" borderId="19" xfId="0" applyFont="1" applyFill="1" applyBorder="1"/>
    <xf numFmtId="0" fontId="2" fillId="4" borderId="6" xfId="0" applyFont="1" applyFill="1" applyBorder="1"/>
    <xf numFmtId="0" fontId="0" fillId="4" borderId="20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2" fontId="1" fillId="4" borderId="5" xfId="0" applyNumberFormat="1" applyFont="1" applyFill="1" applyBorder="1" applyAlignment="1">
      <alignment horizontal="center" vertical="center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5" fillId="4" borderId="30" xfId="0" applyFont="1" applyFill="1" applyBorder="1" applyAlignment="1">
      <alignment horizontal="right" vertical="center"/>
    </xf>
    <xf numFmtId="0" fontId="2" fillId="2" borderId="31" xfId="0" applyFont="1" applyFill="1" applyBorder="1"/>
    <xf numFmtId="2" fontId="1" fillId="3" borderId="30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D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4</xdr:row>
          <xdr:rowOff>0</xdr:rowOff>
        </xdr:from>
        <xdr:to>
          <xdr:col>2</xdr:col>
          <xdr:colOff>3535680</xdr:colOff>
          <xdr:row>5</xdr:row>
          <xdr:rowOff>274320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the grocery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3688080</xdr:colOff>
          <xdr:row>4</xdr:row>
          <xdr:rowOff>7620</xdr:rowOff>
        </xdr:from>
        <xdr:to>
          <xdr:col>3</xdr:col>
          <xdr:colOff>7620</xdr:colOff>
          <xdr:row>5</xdr:row>
          <xdr:rowOff>274320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0787B-3E0A-4089-8FB1-FC1B8DA86493}">
  <sheetPr codeName="Sheet1">
    <tabColor rgb="FF00CDC8"/>
  </sheetPr>
  <dimension ref="A1:G3"/>
  <sheetViews>
    <sheetView workbookViewId="0">
      <selection activeCell="C10" sqref="C10"/>
    </sheetView>
  </sheetViews>
  <sheetFormatPr defaultRowHeight="38.4" x14ac:dyDescent="0.7"/>
  <cols>
    <col min="1" max="1" width="8.88671875" style="7"/>
    <col min="2" max="2" width="69.44140625" style="7" bestFit="1" customWidth="1"/>
    <col min="3" max="3" width="65.33203125" style="7" customWidth="1"/>
    <col min="4" max="5" width="8.88671875" style="7"/>
    <col min="6" max="6" width="14.21875" style="7" customWidth="1"/>
    <col min="7" max="7" width="11.44140625" style="7" bestFit="1" customWidth="1"/>
    <col min="8" max="16384" width="8.88671875" style="7"/>
  </cols>
  <sheetData>
    <row r="1" spans="1:7" ht="39" thickBot="1" x14ac:dyDescent="0.75"/>
    <row r="2" spans="1:7" ht="40.200000000000003" thickBot="1" x14ac:dyDescent="0.75">
      <c r="B2" s="8" t="s">
        <v>69</v>
      </c>
      <c r="C2" s="10">
        <v>2</v>
      </c>
      <c r="F2" s="25" t="s">
        <v>68</v>
      </c>
      <c r="G2" s="26">
        <v>0.4</v>
      </c>
    </row>
    <row r="3" spans="1:7" x14ac:dyDescent="0.7">
      <c r="A3" s="9"/>
      <c r="D3" s="9"/>
      <c r="E3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ster">
                <anchor moveWithCells="1" sizeWithCells="1">
                  <from>
                    <xdr:col>1</xdr:col>
                    <xdr:colOff>7620</xdr:colOff>
                    <xdr:row>4</xdr:row>
                    <xdr:rowOff>0</xdr:rowOff>
                  </from>
                  <to>
                    <xdr:col>2</xdr:col>
                    <xdr:colOff>3535680</xdr:colOff>
                    <xdr:row>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ourse_calculateur">
                <anchor moveWithCells="1" sizeWithCells="1">
                  <from>
                    <xdr:col>2</xdr:col>
                    <xdr:colOff>3688080</xdr:colOff>
                    <xdr:row>6</xdr:row>
                    <xdr:rowOff>7620</xdr:rowOff>
                  </from>
                  <to>
                    <xdr:col>3</xdr:col>
                    <xdr:colOff>7620</xdr:colOff>
                    <xdr:row>7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5EC09-F74E-4C53-A778-87789606FDBF}">
  <sheetPr codeName="Sheet2">
    <tabColor theme="0"/>
  </sheetPr>
  <dimension ref="A1"/>
  <sheetViews>
    <sheetView workbookViewId="0">
      <selection activeCell="E29" sqref="E29"/>
    </sheetView>
  </sheetViews>
  <sheetFormatPr defaultRowHeight="14.4" x14ac:dyDescent="0.3"/>
  <cols>
    <col min="1" max="16384" width="8.88671875" style="2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CE281-6326-4FA0-9A2B-415A0B9800D0}">
  <sheetPr codeName="Sheet3">
    <tabColor theme="0" tint="-0.34998626667073579"/>
  </sheetPr>
  <dimension ref="B1:I44"/>
  <sheetViews>
    <sheetView tabSelected="1" zoomScaleNormal="100" workbookViewId="0">
      <selection activeCell="P25" sqref="P25"/>
    </sheetView>
  </sheetViews>
  <sheetFormatPr defaultRowHeight="14.4" x14ac:dyDescent="0.3"/>
  <cols>
    <col min="1" max="1" width="5" style="1" customWidth="1"/>
    <col min="2" max="2" width="17.88671875" style="1" bestFit="1" customWidth="1"/>
    <col min="3" max="3" width="23.33203125" style="1" bestFit="1" customWidth="1"/>
    <col min="4" max="5" width="5.6640625" style="1" customWidth="1"/>
    <col min="6" max="6" width="9.6640625" style="1" customWidth="1"/>
    <col min="7" max="7" width="8.109375" style="17" bestFit="1" customWidth="1"/>
    <col min="8" max="8" width="10.109375" style="1" customWidth="1"/>
    <col min="9" max="9" width="17" style="21" customWidth="1"/>
    <col min="10" max="16384" width="8.88671875" style="1"/>
  </cols>
  <sheetData>
    <row r="1" spans="2:9" ht="15" thickBot="1" x14ac:dyDescent="0.35"/>
    <row r="2" spans="2:9" ht="29.4" thickBot="1" x14ac:dyDescent="0.35">
      <c r="B2" s="6"/>
      <c r="C2" s="30" t="s">
        <v>61</v>
      </c>
      <c r="D2" s="34" t="s">
        <v>62</v>
      </c>
      <c r="E2" s="34" t="s">
        <v>63</v>
      </c>
      <c r="F2" s="35" t="s">
        <v>64</v>
      </c>
      <c r="G2" s="36" t="s">
        <v>65</v>
      </c>
      <c r="H2" s="37" t="s">
        <v>66</v>
      </c>
      <c r="I2" s="38" t="s">
        <v>67</v>
      </c>
    </row>
    <row r="3" spans="2:9" x14ac:dyDescent="0.3">
      <c r="B3" s="31" t="s">
        <v>13</v>
      </c>
      <c r="C3" s="39" t="s">
        <v>19</v>
      </c>
      <c r="D3" s="27"/>
      <c r="E3" s="4"/>
      <c r="F3" s="11">
        <v>100</v>
      </c>
      <c r="G3" s="18">
        <v>1</v>
      </c>
      <c r="H3" s="14">
        <f>F3*G3</f>
        <v>100</v>
      </c>
      <c r="I3" s="22">
        <v>0.3</v>
      </c>
    </row>
    <row r="4" spans="2:9" x14ac:dyDescent="0.3">
      <c r="B4" s="32"/>
      <c r="C4" s="40" t="s">
        <v>20</v>
      </c>
      <c r="D4" s="28"/>
      <c r="E4" s="3"/>
      <c r="F4" s="12">
        <v>1</v>
      </c>
      <c r="G4" s="19">
        <v>2</v>
      </c>
      <c r="H4" s="15">
        <f t="shared" ref="H4:H44" si="0">F4*G4</f>
        <v>2</v>
      </c>
      <c r="I4" s="23">
        <v>0.3</v>
      </c>
    </row>
    <row r="5" spans="2:9" x14ac:dyDescent="0.3">
      <c r="B5" s="32"/>
      <c r="C5" s="40" t="s">
        <v>21</v>
      </c>
      <c r="D5" s="28"/>
      <c r="E5" s="3"/>
      <c r="F5" s="12">
        <v>4</v>
      </c>
      <c r="G5" s="19">
        <v>4</v>
      </c>
      <c r="H5" s="15">
        <f t="shared" si="0"/>
        <v>16</v>
      </c>
      <c r="I5" s="23">
        <f>4/12</f>
        <v>0.33333333333333331</v>
      </c>
    </row>
    <row r="6" spans="2:9" x14ac:dyDescent="0.3">
      <c r="B6" s="32"/>
      <c r="C6" s="40" t="s">
        <v>22</v>
      </c>
      <c r="D6" s="28"/>
      <c r="E6" s="3"/>
      <c r="F6" s="12">
        <v>1</v>
      </c>
      <c r="G6" s="19">
        <v>2</v>
      </c>
      <c r="H6" s="15">
        <f t="shared" si="0"/>
        <v>2</v>
      </c>
      <c r="I6" s="23">
        <v>1.5</v>
      </c>
    </row>
    <row r="7" spans="2:9" x14ac:dyDescent="0.3">
      <c r="B7" s="32"/>
      <c r="C7" s="40" t="s">
        <v>23</v>
      </c>
      <c r="D7" s="28"/>
      <c r="E7" s="3"/>
      <c r="F7" s="12">
        <v>1</v>
      </c>
      <c r="G7" s="19">
        <v>2</v>
      </c>
      <c r="H7" s="15">
        <f t="shared" si="0"/>
        <v>2</v>
      </c>
      <c r="I7" s="23">
        <v>0.5</v>
      </c>
    </row>
    <row r="8" spans="2:9" x14ac:dyDescent="0.3">
      <c r="B8" s="32"/>
      <c r="C8" s="40" t="s">
        <v>24</v>
      </c>
      <c r="D8" s="28"/>
      <c r="E8" s="3"/>
      <c r="F8" s="12">
        <v>1</v>
      </c>
      <c r="G8" s="19">
        <v>0</v>
      </c>
      <c r="H8" s="15">
        <f t="shared" si="0"/>
        <v>0</v>
      </c>
      <c r="I8" s="23">
        <v>0.5</v>
      </c>
    </row>
    <row r="9" spans="2:9" x14ac:dyDescent="0.3">
      <c r="B9" s="32"/>
      <c r="C9" s="40" t="s">
        <v>25</v>
      </c>
      <c r="D9" s="28"/>
      <c r="E9" s="3"/>
      <c r="F9" s="12">
        <v>20</v>
      </c>
      <c r="G9" s="19">
        <v>1</v>
      </c>
      <c r="H9" s="15">
        <f t="shared" si="0"/>
        <v>20</v>
      </c>
      <c r="I9" s="23">
        <v>1</v>
      </c>
    </row>
    <row r="10" spans="2:9" x14ac:dyDescent="0.3">
      <c r="B10" s="32"/>
      <c r="C10" s="40" t="s">
        <v>26</v>
      </c>
      <c r="D10" s="28"/>
      <c r="E10" s="3"/>
      <c r="F10" s="12">
        <v>14</v>
      </c>
      <c r="G10" s="19">
        <v>1</v>
      </c>
      <c r="H10" s="15">
        <f t="shared" si="0"/>
        <v>14</v>
      </c>
      <c r="I10" s="23">
        <v>1</v>
      </c>
    </row>
    <row r="11" spans="2:9" x14ac:dyDescent="0.3">
      <c r="B11" s="32"/>
      <c r="C11" s="40" t="s">
        <v>27</v>
      </c>
      <c r="D11" s="28"/>
      <c r="E11" s="3"/>
      <c r="F11" s="12">
        <v>1</v>
      </c>
      <c r="G11" s="19">
        <v>0</v>
      </c>
      <c r="H11" s="15">
        <f t="shared" si="0"/>
        <v>0</v>
      </c>
      <c r="I11" s="23">
        <v>0.2</v>
      </c>
    </row>
    <row r="12" spans="2:9" x14ac:dyDescent="0.3">
      <c r="B12" s="32"/>
      <c r="C12" s="40" t="s">
        <v>28</v>
      </c>
      <c r="D12" s="28"/>
      <c r="E12" s="3"/>
      <c r="F12" s="12">
        <v>10</v>
      </c>
      <c r="G12" s="19">
        <v>13</v>
      </c>
      <c r="H12" s="15">
        <f t="shared" si="0"/>
        <v>130</v>
      </c>
      <c r="I12" s="23">
        <v>0.1</v>
      </c>
    </row>
    <row r="13" spans="2:9" x14ac:dyDescent="0.3">
      <c r="B13" s="32"/>
      <c r="C13" s="40" t="s">
        <v>29</v>
      </c>
      <c r="D13" s="28"/>
      <c r="E13" s="3"/>
      <c r="F13" s="12">
        <v>1</v>
      </c>
      <c r="G13" s="19">
        <v>1</v>
      </c>
      <c r="H13" s="15">
        <f t="shared" si="0"/>
        <v>1</v>
      </c>
      <c r="I13" s="23">
        <f>1/12</f>
        <v>8.3333333333333329E-2</v>
      </c>
    </row>
    <row r="14" spans="2:9" ht="15" thickBot="1" x14ac:dyDescent="0.35">
      <c r="B14" s="33"/>
      <c r="C14" s="41" t="s">
        <v>30</v>
      </c>
      <c r="D14" s="29"/>
      <c r="E14" s="5"/>
      <c r="F14" s="13">
        <v>1</v>
      </c>
      <c r="G14" s="20">
        <v>140</v>
      </c>
      <c r="H14" s="16">
        <f t="shared" si="0"/>
        <v>140</v>
      </c>
      <c r="I14" s="24">
        <f>24/140</f>
        <v>0.17142857142857143</v>
      </c>
    </row>
    <row r="15" spans="2:9" x14ac:dyDescent="0.3">
      <c r="B15" s="31" t="s">
        <v>14</v>
      </c>
      <c r="C15" s="39" t="s">
        <v>31</v>
      </c>
      <c r="D15" s="27"/>
      <c r="E15" s="4"/>
      <c r="F15" s="11">
        <v>100</v>
      </c>
      <c r="G15" s="18">
        <v>2</v>
      </c>
      <c r="H15" s="14">
        <f t="shared" si="0"/>
        <v>200</v>
      </c>
      <c r="I15" s="22">
        <f>8/100</f>
        <v>0.08</v>
      </c>
    </row>
    <row r="16" spans="2:9" x14ac:dyDescent="0.3">
      <c r="B16" s="32"/>
      <c r="C16" s="40" t="s">
        <v>32</v>
      </c>
      <c r="D16" s="28"/>
      <c r="E16" s="3"/>
      <c r="F16" s="12">
        <v>36</v>
      </c>
      <c r="G16" s="19">
        <v>2</v>
      </c>
      <c r="H16" s="15">
        <f t="shared" si="0"/>
        <v>72</v>
      </c>
      <c r="I16" s="23">
        <f>8/36</f>
        <v>0.22222222222222221</v>
      </c>
    </row>
    <row r="17" spans="2:9" x14ac:dyDescent="0.3">
      <c r="B17" s="32"/>
      <c r="C17" s="40" t="s">
        <v>33</v>
      </c>
      <c r="D17" s="28"/>
      <c r="E17" s="3"/>
      <c r="F17" s="12">
        <v>1</v>
      </c>
      <c r="G17" s="19">
        <v>1</v>
      </c>
      <c r="H17" s="15">
        <f t="shared" si="0"/>
        <v>1</v>
      </c>
      <c r="I17" s="23">
        <f>1/18</f>
        <v>5.5555555555555552E-2</v>
      </c>
    </row>
    <row r="18" spans="2:9" x14ac:dyDescent="0.3">
      <c r="B18" s="32"/>
      <c r="C18" s="40" t="s">
        <v>34</v>
      </c>
      <c r="D18" s="28"/>
      <c r="E18" s="3"/>
      <c r="F18" s="12">
        <v>1</v>
      </c>
      <c r="G18" s="19">
        <v>1</v>
      </c>
      <c r="H18" s="15">
        <f t="shared" si="0"/>
        <v>1</v>
      </c>
      <c r="I18" s="23">
        <f>1/12</f>
        <v>8.3333333333333329E-2</v>
      </c>
    </row>
    <row r="19" spans="2:9" x14ac:dyDescent="0.3">
      <c r="B19" s="32"/>
      <c r="C19" s="40" t="s">
        <v>35</v>
      </c>
      <c r="D19" s="28"/>
      <c r="E19" s="3"/>
      <c r="F19" s="12">
        <v>1</v>
      </c>
      <c r="G19" s="19">
        <v>1</v>
      </c>
      <c r="H19" s="15">
        <f t="shared" si="0"/>
        <v>1</v>
      </c>
      <c r="I19" s="23">
        <f>1/12</f>
        <v>8.3333333333333329E-2</v>
      </c>
    </row>
    <row r="20" spans="2:9" x14ac:dyDescent="0.3">
      <c r="B20" s="32"/>
      <c r="C20" s="40" t="s">
        <v>36</v>
      </c>
      <c r="D20" s="28"/>
      <c r="E20" s="3"/>
      <c r="F20" s="12">
        <v>15</v>
      </c>
      <c r="G20" s="19">
        <v>2</v>
      </c>
      <c r="H20" s="15">
        <f t="shared" si="0"/>
        <v>30</v>
      </c>
      <c r="I20" s="23">
        <f>1/3</f>
        <v>0.33333333333333331</v>
      </c>
    </row>
    <row r="21" spans="2:9" x14ac:dyDescent="0.3">
      <c r="B21" s="32"/>
      <c r="C21" s="40" t="s">
        <v>37</v>
      </c>
      <c r="D21" s="28"/>
      <c r="E21" s="3"/>
      <c r="F21" s="12">
        <v>15</v>
      </c>
      <c r="G21" s="19">
        <v>2</v>
      </c>
      <c r="H21" s="15">
        <f t="shared" si="0"/>
        <v>30</v>
      </c>
      <c r="I21" s="23">
        <f>1/3</f>
        <v>0.33333333333333331</v>
      </c>
    </row>
    <row r="22" spans="2:9" ht="15" thickBot="1" x14ac:dyDescent="0.35">
      <c r="B22" s="33"/>
      <c r="C22" s="41" t="s">
        <v>38</v>
      </c>
      <c r="D22" s="29"/>
      <c r="E22" s="5"/>
      <c r="F22" s="13">
        <v>15</v>
      </c>
      <c r="G22" s="20">
        <v>3</v>
      </c>
      <c r="H22" s="16">
        <f t="shared" si="0"/>
        <v>45</v>
      </c>
      <c r="I22" s="24">
        <f>1/3</f>
        <v>0.33333333333333331</v>
      </c>
    </row>
    <row r="23" spans="2:9" x14ac:dyDescent="0.3">
      <c r="B23" s="31" t="s">
        <v>15</v>
      </c>
      <c r="C23" s="39" t="s">
        <v>39</v>
      </c>
      <c r="D23" s="27"/>
      <c r="E23" s="4"/>
      <c r="F23" s="11">
        <v>1</v>
      </c>
      <c r="G23" s="18">
        <v>20</v>
      </c>
      <c r="H23" s="14">
        <f t="shared" si="0"/>
        <v>20</v>
      </c>
      <c r="I23" s="22">
        <v>10</v>
      </c>
    </row>
    <row r="24" spans="2:9" x14ac:dyDescent="0.3">
      <c r="B24" s="32"/>
      <c r="C24" s="40" t="s">
        <v>40</v>
      </c>
      <c r="D24" s="28"/>
      <c r="E24" s="3"/>
      <c r="F24" s="12">
        <v>1</v>
      </c>
      <c r="G24" s="19">
        <v>4</v>
      </c>
      <c r="H24" s="15">
        <f t="shared" si="0"/>
        <v>4</v>
      </c>
      <c r="I24" s="23">
        <v>3</v>
      </c>
    </row>
    <row r="25" spans="2:9" x14ac:dyDescent="0.3">
      <c r="B25" s="32"/>
      <c r="C25" s="40" t="s">
        <v>41</v>
      </c>
      <c r="D25" s="28"/>
      <c r="E25" s="3"/>
      <c r="F25" s="12">
        <v>1</v>
      </c>
      <c r="G25" s="19">
        <v>2</v>
      </c>
      <c r="H25" s="15">
        <f t="shared" si="0"/>
        <v>2</v>
      </c>
      <c r="I25" s="23">
        <v>3</v>
      </c>
    </row>
    <row r="26" spans="2:9" x14ac:dyDescent="0.3">
      <c r="B26" s="32"/>
      <c r="C26" s="40" t="s">
        <v>42</v>
      </c>
      <c r="D26" s="28"/>
      <c r="E26" s="3"/>
      <c r="F26" s="12">
        <v>1</v>
      </c>
      <c r="G26" s="19">
        <v>1</v>
      </c>
      <c r="H26" s="15">
        <f t="shared" si="0"/>
        <v>1</v>
      </c>
      <c r="I26" s="23">
        <v>2</v>
      </c>
    </row>
    <row r="27" spans="2:9" x14ac:dyDescent="0.3">
      <c r="B27" s="32"/>
      <c r="C27" s="40" t="s">
        <v>43</v>
      </c>
      <c r="D27" s="28"/>
      <c r="E27" s="3"/>
      <c r="F27" s="12">
        <v>1</v>
      </c>
      <c r="G27" s="19">
        <v>2</v>
      </c>
      <c r="H27" s="15">
        <f t="shared" si="0"/>
        <v>2</v>
      </c>
      <c r="I27" s="23">
        <v>0</v>
      </c>
    </row>
    <row r="28" spans="2:9" x14ac:dyDescent="0.3">
      <c r="B28" s="32"/>
      <c r="C28" s="40" t="s">
        <v>44</v>
      </c>
      <c r="D28" s="28"/>
      <c r="E28" s="3"/>
      <c r="F28" s="12">
        <v>1</v>
      </c>
      <c r="G28" s="19">
        <v>2</v>
      </c>
      <c r="H28" s="15">
        <f t="shared" si="0"/>
        <v>2</v>
      </c>
      <c r="I28" s="23">
        <v>0.5</v>
      </c>
    </row>
    <row r="29" spans="2:9" x14ac:dyDescent="0.3">
      <c r="B29" s="32"/>
      <c r="C29" s="40" t="s">
        <v>45</v>
      </c>
      <c r="D29" s="28"/>
      <c r="E29" s="3"/>
      <c r="F29" s="12">
        <v>1</v>
      </c>
      <c r="G29" s="19">
        <v>1</v>
      </c>
      <c r="H29" s="15">
        <f t="shared" si="0"/>
        <v>1</v>
      </c>
      <c r="I29" s="23">
        <v>0</v>
      </c>
    </row>
    <row r="30" spans="2:9" x14ac:dyDescent="0.3">
      <c r="B30" s="32"/>
      <c r="C30" s="40" t="s">
        <v>46</v>
      </c>
      <c r="D30" s="28"/>
      <c r="E30" s="3"/>
      <c r="F30" s="12">
        <v>1</v>
      </c>
      <c r="G30" s="19">
        <v>2</v>
      </c>
      <c r="H30" s="15">
        <f t="shared" si="0"/>
        <v>2</v>
      </c>
      <c r="I30" s="23">
        <v>0</v>
      </c>
    </row>
    <row r="31" spans="2:9" x14ac:dyDescent="0.3">
      <c r="B31" s="32"/>
      <c r="C31" s="40" t="s">
        <v>47</v>
      </c>
      <c r="D31" s="28"/>
      <c r="E31" s="3"/>
      <c r="F31" s="12">
        <v>1</v>
      </c>
      <c r="G31" s="19">
        <v>1</v>
      </c>
      <c r="H31" s="15">
        <f t="shared" si="0"/>
        <v>1</v>
      </c>
      <c r="I31" s="23">
        <v>0</v>
      </c>
    </row>
    <row r="32" spans="2:9" ht="15" thickBot="1" x14ac:dyDescent="0.35">
      <c r="B32" s="33"/>
      <c r="C32" s="41" t="s">
        <v>48</v>
      </c>
      <c r="D32" s="29"/>
      <c r="E32" s="5"/>
      <c r="F32" s="13">
        <v>1</v>
      </c>
      <c r="G32" s="20">
        <v>1</v>
      </c>
      <c r="H32" s="16">
        <f t="shared" si="0"/>
        <v>1</v>
      </c>
      <c r="I32" s="24">
        <v>0</v>
      </c>
    </row>
    <row r="33" spans="2:9" x14ac:dyDescent="0.3">
      <c r="B33" s="31" t="s">
        <v>16</v>
      </c>
      <c r="C33" s="39" t="s">
        <v>49</v>
      </c>
      <c r="D33" s="27"/>
      <c r="E33" s="4"/>
      <c r="F33" s="11">
        <v>1</v>
      </c>
      <c r="G33" s="18">
        <v>2</v>
      </c>
      <c r="H33" s="14">
        <f t="shared" si="0"/>
        <v>2</v>
      </c>
      <c r="I33" s="22">
        <v>1.5</v>
      </c>
    </row>
    <row r="34" spans="2:9" x14ac:dyDescent="0.3">
      <c r="B34" s="32"/>
      <c r="C34" s="40" t="s">
        <v>50</v>
      </c>
      <c r="D34" s="28"/>
      <c r="E34" s="3"/>
      <c r="F34" s="12">
        <v>1</v>
      </c>
      <c r="G34" s="19">
        <v>0</v>
      </c>
      <c r="H34" s="15">
        <f t="shared" si="0"/>
        <v>0</v>
      </c>
      <c r="I34" s="23">
        <v>3</v>
      </c>
    </row>
    <row r="35" spans="2:9" ht="15" thickBot="1" x14ac:dyDescent="0.35">
      <c r="B35" s="33"/>
      <c r="C35" s="41" t="s">
        <v>51</v>
      </c>
      <c r="D35" s="29"/>
      <c r="E35" s="5"/>
      <c r="F35" s="13">
        <v>1</v>
      </c>
      <c r="G35" s="20">
        <v>0</v>
      </c>
      <c r="H35" s="16">
        <f t="shared" si="0"/>
        <v>0</v>
      </c>
      <c r="I35" s="24">
        <v>2</v>
      </c>
    </row>
    <row r="36" spans="2:9" x14ac:dyDescent="0.3">
      <c r="B36" s="31" t="s">
        <v>17</v>
      </c>
      <c r="C36" s="39" t="s">
        <v>52</v>
      </c>
      <c r="D36" s="27"/>
      <c r="E36" s="4"/>
      <c r="F36" s="11">
        <v>1</v>
      </c>
      <c r="G36" s="18">
        <v>16</v>
      </c>
      <c r="H36" s="14">
        <f t="shared" si="0"/>
        <v>16</v>
      </c>
      <c r="I36" s="22">
        <v>1</v>
      </c>
    </row>
    <row r="37" spans="2:9" x14ac:dyDescent="0.3">
      <c r="B37" s="32"/>
      <c r="C37" s="40" t="s">
        <v>53</v>
      </c>
      <c r="D37" s="28"/>
      <c r="E37" s="3"/>
      <c r="F37" s="12">
        <v>1</v>
      </c>
      <c r="G37" s="19">
        <v>3</v>
      </c>
      <c r="H37" s="15">
        <f t="shared" si="0"/>
        <v>3</v>
      </c>
      <c r="I37" s="23">
        <v>1</v>
      </c>
    </row>
    <row r="38" spans="2:9" x14ac:dyDescent="0.3">
      <c r="B38" s="32"/>
      <c r="C38" s="40" t="s">
        <v>54</v>
      </c>
      <c r="D38" s="28"/>
      <c r="E38" s="3"/>
      <c r="F38" s="12">
        <v>1</v>
      </c>
      <c r="G38" s="19">
        <v>4</v>
      </c>
      <c r="H38" s="15">
        <f t="shared" si="0"/>
        <v>4</v>
      </c>
      <c r="I38" s="23">
        <v>1</v>
      </c>
    </row>
    <row r="39" spans="2:9" ht="15" thickBot="1" x14ac:dyDescent="0.35">
      <c r="B39" s="33"/>
      <c r="C39" s="41" t="s">
        <v>55</v>
      </c>
      <c r="D39" s="29"/>
      <c r="E39" s="5"/>
      <c r="F39" s="13">
        <v>1</v>
      </c>
      <c r="G39" s="20">
        <v>1</v>
      </c>
      <c r="H39" s="16">
        <f t="shared" si="0"/>
        <v>1</v>
      </c>
      <c r="I39" s="24">
        <v>1</v>
      </c>
    </row>
    <row r="40" spans="2:9" x14ac:dyDescent="0.3">
      <c r="B40" s="31" t="s">
        <v>18</v>
      </c>
      <c r="C40" s="42" t="s">
        <v>56</v>
      </c>
      <c r="D40" s="43"/>
      <c r="E40" s="44"/>
      <c r="F40" s="45">
        <v>1</v>
      </c>
      <c r="G40" s="46">
        <v>2</v>
      </c>
      <c r="H40" s="47">
        <f t="shared" si="0"/>
        <v>2</v>
      </c>
      <c r="I40" s="48">
        <v>1</v>
      </c>
    </row>
    <row r="41" spans="2:9" x14ac:dyDescent="0.3">
      <c r="B41" s="32"/>
      <c r="C41" s="40" t="s">
        <v>57</v>
      </c>
      <c r="D41" s="28"/>
      <c r="E41" s="3"/>
      <c r="F41" s="12">
        <v>1</v>
      </c>
      <c r="G41" s="19">
        <v>6</v>
      </c>
      <c r="H41" s="15">
        <f t="shared" si="0"/>
        <v>6</v>
      </c>
      <c r="I41" s="23">
        <v>1</v>
      </c>
    </row>
    <row r="42" spans="2:9" x14ac:dyDescent="0.3">
      <c r="B42" s="32"/>
      <c r="C42" s="40" t="s">
        <v>58</v>
      </c>
      <c r="D42" s="28"/>
      <c r="E42" s="3"/>
      <c r="F42" s="12">
        <v>1</v>
      </c>
      <c r="G42" s="19">
        <v>2</v>
      </c>
      <c r="H42" s="15">
        <f t="shared" si="0"/>
        <v>2</v>
      </c>
      <c r="I42" s="23">
        <v>1</v>
      </c>
    </row>
    <row r="43" spans="2:9" x14ac:dyDescent="0.3">
      <c r="B43" s="32"/>
      <c r="C43" s="40" t="s">
        <v>59</v>
      </c>
      <c r="D43" s="28"/>
      <c r="E43" s="3"/>
      <c r="F43" s="12">
        <v>1</v>
      </c>
      <c r="G43" s="19">
        <v>6</v>
      </c>
      <c r="H43" s="15">
        <f t="shared" si="0"/>
        <v>6</v>
      </c>
      <c r="I43" s="23">
        <v>1</v>
      </c>
    </row>
    <row r="44" spans="2:9" ht="15" thickBot="1" x14ac:dyDescent="0.35">
      <c r="B44" s="33"/>
      <c r="C44" s="41" t="s">
        <v>60</v>
      </c>
      <c r="D44" s="29"/>
      <c r="E44" s="5"/>
      <c r="F44" s="13">
        <v>1</v>
      </c>
      <c r="G44" s="20">
        <v>3</v>
      </c>
      <c r="H44" s="16">
        <f t="shared" si="0"/>
        <v>3</v>
      </c>
      <c r="I44" s="24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04BA0-11E2-4C0F-8180-D71A7E61F0EC}">
  <sheetPr codeName="Sheet4"/>
  <dimension ref="A1:C7"/>
  <sheetViews>
    <sheetView workbookViewId="0">
      <selection activeCell="E1" sqref="E1"/>
    </sheetView>
  </sheetViews>
  <sheetFormatPr defaultRowHeight="14.4" x14ac:dyDescent="0.3"/>
  <cols>
    <col min="1" max="1" width="14.77734375" bestFit="1" customWidth="1"/>
    <col min="2" max="2" width="13.109375" bestFit="1" customWidth="1"/>
    <col min="3" max="3" width="11.664062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5</v>
      </c>
    </row>
    <row r="3" spans="1:3" x14ac:dyDescent="0.3">
      <c r="A3" t="s">
        <v>6</v>
      </c>
      <c r="C3" t="s">
        <v>11</v>
      </c>
    </row>
    <row r="4" spans="1:3" x14ac:dyDescent="0.3">
      <c r="A4" t="s">
        <v>7</v>
      </c>
      <c r="C4" t="s">
        <v>12</v>
      </c>
    </row>
    <row r="5" spans="1:3" x14ac:dyDescent="0.3">
      <c r="A5" t="s">
        <v>8</v>
      </c>
    </row>
    <row r="6" spans="1:3" x14ac:dyDescent="0.3">
      <c r="A6" t="s">
        <v>9</v>
      </c>
    </row>
    <row r="7" spans="1:3" x14ac:dyDescent="0.3">
      <c r="A7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Grocery list</vt:lpstr>
      <vt:lpstr>Stock</vt:lpstr>
      <vt:lpstr>Générateur de recettes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</dc:creator>
  <cp:lastModifiedBy>Sébastien</cp:lastModifiedBy>
  <dcterms:created xsi:type="dcterms:W3CDTF">2019-03-09T08:00:24Z</dcterms:created>
  <dcterms:modified xsi:type="dcterms:W3CDTF">2019-03-19T08:10:32Z</dcterms:modified>
</cp:coreProperties>
</file>